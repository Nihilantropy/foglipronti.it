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dolare sec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5F"/>
      <sz val="16"/>
    </font>
    <font>
      <i val="1"/>
      <color rgb="005F6B6E"/>
      <sz val="10"/>
    </font>
    <font>
      <i val="1"/>
      <color rgb="005F6B6E"/>
      <sz val="9"/>
    </font>
    <font>
      <color rgb="001F4E5F"/>
      <sz val="9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E8F1F3"/>
      </patternFill>
    </fill>
  </fills>
  <borders count="2">
    <border>
      <left/>
      <right/>
      <top/>
      <bottom/>
      <diagonal/>
    </border>
    <border>
      <left style="thin">
        <color rgb="00C9D6DA"/>
      </left>
      <right style="thin">
        <color rgb="00C9D6DA"/>
      </right>
      <top style="thin">
        <color rgb="00C9D6DA"/>
      </top>
      <bottom style="thin">
        <color rgb="00C9D6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0" fontId="0" fillId="2" borderId="1" pivotButton="0" quotePrefix="0" xfId="0"/>
    <xf numFmtId="164" fontId="0" fillId="3" borderId="1" pivotButton="0" quotePrefix="0" xfId="0"/>
    <xf numFmtId="165" fontId="0" fillId="2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</cols>
  <sheetData>
    <row r="1">
      <c r="A1" s="1" t="inlineStr">
        <is>
          <t>Calcolatore cedolare secca 2026</t>
        </is>
      </c>
    </row>
    <row r="2">
      <c r="A2" s="2" t="inlineStr">
        <is>
          <t>Regalo di FogliPronti · foglipronti.it</t>
        </is>
      </c>
    </row>
    <row r="4">
      <c r="A4" s="3" t="inlineStr">
        <is>
          <t>Canone mensile</t>
        </is>
      </c>
      <c r="B4" s="4" t="n">
        <v>800</v>
      </c>
    </row>
    <row r="5">
      <c r="A5" s="3" t="inlineStr">
        <is>
          <t>Mesi affittati nell'anno</t>
        </is>
      </c>
      <c r="B5" s="5" t="n">
        <v>12</v>
      </c>
    </row>
    <row r="6">
      <c r="A6" s="3" t="inlineStr">
        <is>
          <t>Canone annuo</t>
        </is>
      </c>
      <c r="B6" s="6">
        <f>B4*B5</f>
        <v/>
      </c>
    </row>
    <row r="7">
      <c r="A7" s="3" t="inlineStr">
        <is>
          <t>Aliquota cedolare (21% ordinaria · 10% canone concordato · 26% dal 2° alloggio breve)</t>
        </is>
      </c>
      <c r="B7" s="7" t="n">
        <v>0.21</v>
      </c>
    </row>
    <row r="8">
      <c r="A8" s="3" t="inlineStr">
        <is>
          <t>Cedolare secca dovuta</t>
        </is>
      </c>
      <c r="B8" s="6">
        <f>B6*B7</f>
        <v/>
      </c>
    </row>
    <row r="9">
      <c r="A9" s="3" t="inlineStr">
        <is>
          <t>Netto annuo dopo cedolare</t>
        </is>
      </c>
      <c r="B9" s="6">
        <f>B6-B8</f>
        <v/>
      </c>
    </row>
    <row r="10">
      <c r="A10" s="3" t="inlineStr">
        <is>
          <t>Netto mensile</t>
        </is>
      </c>
      <c r="B10" s="6">
        <f>B9/12</f>
        <v/>
      </c>
    </row>
    <row r="11">
      <c r="A11" s="3" t="inlineStr"/>
      <c r="B11" s="8" t="n"/>
    </row>
    <row r="12">
      <c r="A12" s="3" t="inlineStr">
        <is>
          <t>Confronto IRPEF: aliquota marginale (23% · 33% · 43%)</t>
        </is>
      </c>
      <c r="B12" s="7" t="n">
        <v>0.33</v>
      </c>
    </row>
    <row r="13">
      <c r="A13" s="3" t="inlineStr">
        <is>
          <t>IRPEF stimata sul 95% del canone (senza addizionali)</t>
        </is>
      </c>
      <c r="B13" s="6">
        <f>B6*0.95*B12</f>
        <v/>
      </c>
    </row>
    <row r="14">
      <c r="A14" s="3" t="inlineStr">
        <is>
          <t>Risparmio con la cedolare rispetto all'IRPEF</t>
        </is>
      </c>
      <c r="B14" s="6">
        <f>B13-B8</f>
        <v/>
      </c>
    </row>
    <row r="15">
      <c r="A15" s="3" t="inlineStr"/>
      <c r="B15" s="8" t="n"/>
    </row>
    <row r="16">
      <c r="A16" s="3" t="inlineStr">
        <is>
          <t>Acconto cedolare anno successivo (100%, 40% giugno + 60% novembre)</t>
        </is>
      </c>
      <c r="B16" s="6">
        <f>B8</f>
        <v/>
      </c>
    </row>
    <row r="17">
      <c r="A17" s="3" t="inlineStr">
        <is>
          <t>Prima rata (giugno)</t>
        </is>
      </c>
      <c r="B17" s="6">
        <f>B16*0.4</f>
        <v/>
      </c>
    </row>
    <row r="18">
      <c r="A18" s="3" t="inlineStr">
        <is>
          <t>Seconda rata (novembre)</t>
        </is>
      </c>
      <c r="B18" s="6">
        <f>B16*0.6</f>
        <v/>
      </c>
    </row>
    <row r="21">
      <c r="A21" s="9" t="inlineStr">
        <is>
          <t>Celle gialle = da compilare. Stima indicativa, non sostituisce il commercialista. Aliquote 2026 (L. 199/2025): verifica il tuo caso.</t>
        </is>
      </c>
    </row>
    <row r="22">
      <c r="A22" s="10" t="inlineStr">
        <is>
          <t>Il gestionale completo per affitti brevi (prenotazioni, tassa di soggiorno, spese, riepilogo) è su foglipronti.etsy.com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2026-10-15T08:02:17Z</dcterms:created>
  <dcterms:modified xmlns:dcterms="http://purl.org/dc/terms/" xmlns:xsi="http://www.w3.org/2001/XMLSchema-instance" xsi:type="dcterms:W3CDTF">2026-10-15T08:02:17Z</dcterms:modified>
</cp:coreProperties>
</file>